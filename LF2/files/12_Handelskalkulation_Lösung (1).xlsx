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autoCompressPictures="0"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3FB6EE30-D089-4057-B712-4BCF1AC58B85}" xr6:coauthVersionLast="47" xr6:coauthVersionMax="47" xr10:uidLastSave="{00000000-0000-0000-0000-000000000000}"/>
  <bookViews>
    <workbookView xWindow="8895" yWindow="1875" windowWidth="25365" windowHeight="15285" xr2:uid="{00000000-000D-0000-FFFF-FFFF00000000}"/>
  </bookViews>
  <sheets>
    <sheet name="12_Handelskalk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1" i="1" l="1"/>
  <c r="G3" i="1"/>
  <c r="G4" i="1"/>
  <c r="G5" i="1"/>
  <c r="G6" i="1"/>
  <c r="E3" i="1"/>
  <c r="C3" i="1"/>
  <c r="C4" i="1"/>
  <c r="C5" i="1"/>
  <c r="C6" i="1"/>
  <c r="C7" i="1"/>
  <c r="E4" i="1"/>
  <c r="E5" i="1"/>
  <c r="G7" i="1"/>
  <c r="E6" i="1"/>
  <c r="E7" i="1"/>
  <c r="C8" i="1"/>
  <c r="C9" i="1"/>
  <c r="G8" i="1"/>
  <c r="G9" i="1"/>
  <c r="E8" i="1"/>
  <c r="E9" i="1"/>
  <c r="G11" i="1"/>
  <c r="G12" i="1" s="1"/>
  <c r="E11" i="1"/>
  <c r="E12" i="1"/>
  <c r="E13" i="1" s="1"/>
  <c r="G13" i="1" l="1"/>
  <c r="E15" i="1"/>
  <c r="E14" i="1"/>
  <c r="E16" i="1" s="1"/>
  <c r="C12" i="1"/>
  <c r="C13" i="1"/>
  <c r="G15" i="1" l="1"/>
  <c r="G14" i="1"/>
  <c r="G16" i="1" s="1"/>
  <c r="E17" i="1"/>
  <c r="E18" i="1" s="1"/>
  <c r="C15" i="1"/>
  <c r="C14" i="1"/>
  <c r="C16" i="1" s="1"/>
  <c r="G17" i="1" l="1"/>
  <c r="G18" i="1"/>
  <c r="E19" i="1"/>
  <c r="E20" i="1" s="1"/>
  <c r="C17" i="1"/>
  <c r="C18" i="1"/>
  <c r="G19" i="1" l="1"/>
  <c r="G20" i="1"/>
  <c r="C19" i="1"/>
  <c r="C20" i="1"/>
</calcChain>
</file>

<file path=xl/sharedStrings.xml><?xml version="1.0" encoding="utf-8"?>
<sst xmlns="http://schemas.openxmlformats.org/spreadsheetml/2006/main" count="32" uniqueCount="28">
  <si>
    <t>Kalkulation</t>
  </si>
  <si>
    <t>Vorgabe %/€</t>
  </si>
  <si>
    <t>Berechnung</t>
  </si>
  <si>
    <t>Spalte1</t>
  </si>
  <si>
    <t>Spalte2</t>
  </si>
  <si>
    <t>Spalte3</t>
  </si>
  <si>
    <t>Spalte4</t>
  </si>
  <si>
    <t>Spalte5</t>
  </si>
  <si>
    <t>Spalte6</t>
  </si>
  <si>
    <t>Spalte7</t>
  </si>
  <si>
    <t>Listeneimkaufspreis</t>
  </si>
  <si>
    <t>Lieferrabatt</t>
  </si>
  <si>
    <t>Zieleinkaufspreis</t>
  </si>
  <si>
    <t>Lieferskonto</t>
  </si>
  <si>
    <t>Bareinkaufspreis</t>
  </si>
  <si>
    <t>Bezugskosten</t>
  </si>
  <si>
    <t>Bezugspreis</t>
  </si>
  <si>
    <t>Handlungskosten</t>
  </si>
  <si>
    <t>Selbstkosten</t>
  </si>
  <si>
    <t>Gewinnzuschlag</t>
  </si>
  <si>
    <t>Barverkaufspreis</t>
  </si>
  <si>
    <t>Kundenskonto</t>
  </si>
  <si>
    <t>Vertreterprovision</t>
  </si>
  <si>
    <t>Zielverkaufspreis</t>
  </si>
  <si>
    <t>Kundenrabatt</t>
  </si>
  <si>
    <t>Listenverkaufspreis</t>
  </si>
  <si>
    <t>Umsatzsteuer</t>
  </si>
  <si>
    <t>Listenverkaufspreis + Umsatzsteuer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</si>
</sst>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9" fontId="0" fillId="0" borderId="0" xfId="1" applyFont="1"/>
    <xf numFmtId="2" fontId="0" fillId="0" borderId="0" xfId="0" applyNumberFormat="1"/>
    <xf numFmtId="2" fontId="0" fillId="0" borderId="0" xfId="1" applyNumberFormat="1" applyFont="1"/>
  </cellXfs>
  <cellStyles count="2">
    <cellStyle name="Prozent" xfId="1" builtinId="5"/>
    <cellStyle name="Standard" xfId="0" builtinId="0"/>
  </cellStyles>
  <dxfs count="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indexed="64"/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2:G20" totalsRowShown="0">
  <autoFilter ref="A2:G20" xr:uid="{00000000-0009-0000-0100-000001000000}"/>
  <tableColumns count="7">
    <tableColumn id="1" xr3:uid="{00000000-0010-0000-0000-000001000000}" name="Spalte1" dataDxfId="6"/>
    <tableColumn id="2" xr3:uid="{00000000-0010-0000-0000-000002000000}" name="Spalte2" dataDxfId="5"/>
    <tableColumn id="3" xr3:uid="{00000000-0010-0000-0000-000003000000}" name="Spalte3" dataDxfId="4">
      <calculatedColumnFormula>B3</calculatedColumnFormula>
    </tableColumn>
    <tableColumn id="4" xr3:uid="{00000000-0010-0000-0000-000004000000}" name="Spalte4" dataDxfId="3"/>
    <tableColumn id="5" xr3:uid="{00000000-0010-0000-0000-000005000000}" name="Spalte5" dataDxfId="2">
      <calculatedColumnFormula>D3</calculatedColumnFormula>
    </tableColumn>
    <tableColumn id="6" xr3:uid="{00000000-0010-0000-0000-000006000000}" name="Spalte6" dataDxfId="1"/>
    <tableColumn id="7" xr3:uid="{00000000-0010-0000-0000-000007000000}" name="Spalte7" dataDxfId="0">
      <calculatedColumnFormula>F3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G11" sqref="G11"/>
    </sheetView>
  </sheetViews>
  <sheetFormatPr baseColWidth="10" defaultColWidth="11.42578125" defaultRowHeight="15" x14ac:dyDescent="0.25"/>
  <cols>
    <col min="1" max="1" width="17.42578125" bestFit="1" customWidth="1"/>
    <col min="2" max="2" width="11.42578125" bestFit="1" customWidth="1"/>
    <col min="3" max="3" width="10.7109375" bestFit="1" customWidth="1"/>
    <col min="4" max="4" width="11.42578125" bestFit="1" customWidth="1"/>
    <col min="5" max="5" width="10.7109375" bestFit="1" customWidth="1"/>
    <col min="6" max="6" width="11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</row>
    <row r="2" spans="1:7" hidden="1" x14ac:dyDescent="0.25">
      <c r="A2" s="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 spans="1:7" x14ac:dyDescent="0.25">
      <c r="A3" s="2" t="s">
        <v>10</v>
      </c>
      <c r="B3" s="5">
        <v>300</v>
      </c>
      <c r="C3" s="5">
        <f t="shared" ref="C3" si="0">B3</f>
        <v>300</v>
      </c>
      <c r="D3" s="5">
        <v>680</v>
      </c>
      <c r="E3" s="5">
        <f t="shared" ref="E3" si="1">D3</f>
        <v>680</v>
      </c>
      <c r="F3" s="5">
        <v>1400</v>
      </c>
      <c r="G3" s="5">
        <f t="shared" ref="G3" si="2">F3</f>
        <v>1400</v>
      </c>
    </row>
    <row r="4" spans="1:7" x14ac:dyDescent="0.25">
      <c r="A4" s="2" t="s">
        <v>11</v>
      </c>
      <c r="B4" s="6">
        <v>0.2</v>
      </c>
      <c r="C4" s="5">
        <f>C3*B4</f>
        <v>60</v>
      </c>
      <c r="D4" s="4">
        <v>0.2</v>
      </c>
      <c r="E4" s="5">
        <f>E3*D4</f>
        <v>136</v>
      </c>
      <c r="F4" s="4">
        <v>0.15</v>
      </c>
      <c r="G4" s="5">
        <f>G3*F4</f>
        <v>210</v>
      </c>
    </row>
    <row r="5" spans="1:7" x14ac:dyDescent="0.25">
      <c r="A5" s="2" t="s">
        <v>12</v>
      </c>
      <c r="B5" s="6"/>
      <c r="C5" s="5">
        <f>C3 -C4</f>
        <v>240</v>
      </c>
      <c r="D5" s="4"/>
      <c r="E5" s="5">
        <f>E3 -E4</f>
        <v>544</v>
      </c>
      <c r="F5" s="4"/>
      <c r="G5" s="5">
        <f>G3 -G4</f>
        <v>1190</v>
      </c>
    </row>
    <row r="6" spans="1:7" x14ac:dyDescent="0.25">
      <c r="A6" s="2" t="s">
        <v>13</v>
      </c>
      <c r="B6" s="6">
        <v>0.03</v>
      </c>
      <c r="C6" s="5">
        <f>C5 * B6</f>
        <v>7.1999999999999993</v>
      </c>
      <c r="D6" s="4">
        <v>0.02</v>
      </c>
      <c r="E6" s="5">
        <f>E5 * D6</f>
        <v>10.88</v>
      </c>
      <c r="F6" s="4">
        <v>0.02</v>
      </c>
      <c r="G6" s="5">
        <f>G5 * F6</f>
        <v>23.8</v>
      </c>
    </row>
    <row r="7" spans="1:7" x14ac:dyDescent="0.25">
      <c r="A7" s="2" t="s">
        <v>14</v>
      </c>
      <c r="B7" s="6"/>
      <c r="C7" s="5">
        <f xml:space="preserve"> C5 -C6</f>
        <v>232.8</v>
      </c>
      <c r="D7" s="4"/>
      <c r="E7" s="5">
        <f xml:space="preserve"> E5 -E6</f>
        <v>533.12</v>
      </c>
      <c r="F7" s="4"/>
      <c r="G7" s="5">
        <f xml:space="preserve"> G5 -G6</f>
        <v>1166.2</v>
      </c>
    </row>
    <row r="8" spans="1:7" x14ac:dyDescent="0.25">
      <c r="A8" s="2" t="s">
        <v>15</v>
      </c>
      <c r="B8" s="6">
        <v>0.03</v>
      </c>
      <c r="C8" s="5">
        <f>C7*B8</f>
        <v>6.984</v>
      </c>
      <c r="D8" s="4">
        <v>7.0000000000000007E-2</v>
      </c>
      <c r="E8" s="5">
        <f>E7*D8</f>
        <v>37.318400000000004</v>
      </c>
      <c r="F8" s="4">
        <v>0.05</v>
      </c>
      <c r="G8" s="5">
        <f>G7*F8</f>
        <v>58.31</v>
      </c>
    </row>
    <row r="9" spans="1:7" x14ac:dyDescent="0.25">
      <c r="A9" s="2" t="s">
        <v>16</v>
      </c>
      <c r="B9" s="6"/>
      <c r="C9" s="5">
        <f>C7+C8</f>
        <v>239.78400000000002</v>
      </c>
      <c r="D9" s="4"/>
      <c r="E9" s="5">
        <f>E7+E8</f>
        <v>570.4384</v>
      </c>
      <c r="F9" s="4"/>
      <c r="G9" s="5">
        <f>G7+G8</f>
        <v>1224.51</v>
      </c>
    </row>
    <row r="10" spans="1:7" x14ac:dyDescent="0.25">
      <c r="A10" s="2" t="s">
        <v>17</v>
      </c>
      <c r="B10" s="6">
        <v>70</v>
      </c>
      <c r="C10" s="5">
        <v>70</v>
      </c>
      <c r="D10" s="6">
        <v>75</v>
      </c>
      <c r="E10" s="5">
        <v>75</v>
      </c>
      <c r="F10" s="6">
        <v>70</v>
      </c>
      <c r="G10" s="5">
        <v>70</v>
      </c>
    </row>
    <row r="11" spans="1:7" x14ac:dyDescent="0.25">
      <c r="A11" s="2" t="s">
        <v>18</v>
      </c>
      <c r="B11" s="6"/>
      <c r="C11" s="5">
        <f>C9+C10</f>
        <v>309.78399999999999</v>
      </c>
      <c r="D11" s="4"/>
      <c r="E11" s="5">
        <f>E9+E10</f>
        <v>645.4384</v>
      </c>
      <c r="F11" s="4"/>
      <c r="G11" s="5">
        <f>G9+G10</f>
        <v>1294.51</v>
      </c>
    </row>
    <row r="12" spans="1:7" x14ac:dyDescent="0.25">
      <c r="A12" s="2" t="s">
        <v>19</v>
      </c>
      <c r="B12" s="6">
        <v>0.08</v>
      </c>
      <c r="C12" s="5">
        <f>C11*B12</f>
        <v>24.782720000000001</v>
      </c>
      <c r="D12" s="4">
        <v>0.1</v>
      </c>
      <c r="E12" s="5">
        <f>E11*D12</f>
        <v>64.543840000000003</v>
      </c>
      <c r="F12" s="4">
        <v>0.09</v>
      </c>
      <c r="G12" s="5">
        <f>G11*F12</f>
        <v>116.5059</v>
      </c>
    </row>
    <row r="13" spans="1:7" x14ac:dyDescent="0.25">
      <c r="A13" s="2" t="s">
        <v>20</v>
      </c>
      <c r="B13" s="6"/>
      <c r="C13" s="5">
        <f>C11+C12</f>
        <v>334.56671999999998</v>
      </c>
      <c r="D13" s="4"/>
      <c r="E13" s="5">
        <f>E11+E12</f>
        <v>709.98224000000005</v>
      </c>
      <c r="F13" s="4"/>
      <c r="G13" s="5">
        <f>G11+G12</f>
        <v>1411.0158999999999</v>
      </c>
    </row>
    <row r="14" spans="1:7" x14ac:dyDescent="0.25">
      <c r="A14" s="2" t="s">
        <v>21</v>
      </c>
      <c r="B14" s="6">
        <v>0</v>
      </c>
      <c r="C14" s="5">
        <f>C13*B14</f>
        <v>0</v>
      </c>
      <c r="D14" s="4">
        <v>0.03</v>
      </c>
      <c r="E14" s="5">
        <f>E13*D14</f>
        <v>21.299467200000002</v>
      </c>
      <c r="F14" s="4">
        <v>0.03</v>
      </c>
      <c r="G14" s="5">
        <f>G13*F14</f>
        <v>42.330476999999995</v>
      </c>
    </row>
    <row r="15" spans="1:7" x14ac:dyDescent="0.25">
      <c r="A15" s="2" t="s">
        <v>22</v>
      </c>
      <c r="B15" s="6">
        <v>0</v>
      </c>
      <c r="C15" s="5">
        <f>C13*B15</f>
        <v>0</v>
      </c>
      <c r="D15" s="4">
        <v>0</v>
      </c>
      <c r="E15" s="5">
        <f>E13*D15</f>
        <v>0</v>
      </c>
      <c r="F15" s="4">
        <v>0.06</v>
      </c>
      <c r="G15" s="5">
        <f>G13*F15</f>
        <v>84.66095399999999</v>
      </c>
    </row>
    <row r="16" spans="1:7" x14ac:dyDescent="0.25">
      <c r="A16" s="2" t="s">
        <v>23</v>
      </c>
      <c r="B16" s="6"/>
      <c r="C16" s="5">
        <f>C13+C14+C15</f>
        <v>334.56671999999998</v>
      </c>
      <c r="D16" s="4"/>
      <c r="E16" s="5">
        <f>E13+E14+E15</f>
        <v>731.28170720000003</v>
      </c>
      <c r="F16" s="4"/>
      <c r="G16" s="5">
        <f>G13+G14+G15</f>
        <v>1538.0073309999998</v>
      </c>
    </row>
    <row r="17" spans="1:7" x14ac:dyDescent="0.25">
      <c r="A17" s="2" t="s">
        <v>24</v>
      </c>
      <c r="B17" s="6">
        <v>0</v>
      </c>
      <c r="C17" s="5">
        <f>C16*B17</f>
        <v>0</v>
      </c>
      <c r="D17" s="4">
        <v>0.2</v>
      </c>
      <c r="E17" s="5">
        <f>E16*D17</f>
        <v>146.25634144</v>
      </c>
      <c r="F17" s="4">
        <v>0.1</v>
      </c>
      <c r="G17" s="5">
        <f>G16*F17</f>
        <v>153.8007331</v>
      </c>
    </row>
    <row r="18" spans="1:7" x14ac:dyDescent="0.25">
      <c r="A18" s="2" t="s">
        <v>25</v>
      </c>
      <c r="B18" s="6"/>
      <c r="C18" s="5">
        <f>C16+C17</f>
        <v>334.56671999999998</v>
      </c>
      <c r="D18" s="4"/>
      <c r="E18" s="5">
        <f>E16+E17</f>
        <v>877.53804864000006</v>
      </c>
      <c r="F18" s="4"/>
      <c r="G18" s="5">
        <f>G16+G17</f>
        <v>1691.8080640999997</v>
      </c>
    </row>
    <row r="19" spans="1:7" x14ac:dyDescent="0.25">
      <c r="A19" s="2" t="s">
        <v>26</v>
      </c>
      <c r="B19" s="6">
        <v>0.19</v>
      </c>
      <c r="C19" s="5">
        <f>C18*B19</f>
        <v>63.567676799999994</v>
      </c>
      <c r="D19" s="4">
        <v>0.19</v>
      </c>
      <c r="E19" s="5">
        <f>E18*D19</f>
        <v>166.73222924160001</v>
      </c>
      <c r="F19" s="4">
        <v>0.19</v>
      </c>
      <c r="G19" s="5">
        <f>G18*F19</f>
        <v>321.44353217899993</v>
      </c>
    </row>
    <row r="20" spans="1:7" ht="30" x14ac:dyDescent="0.25">
      <c r="A20" s="3" t="s">
        <v>27</v>
      </c>
      <c r="B20" s="5"/>
      <c r="C20" s="5">
        <f xml:space="preserve"> C18+C19</f>
        <v>398.13439679999999</v>
      </c>
      <c r="D20" s="5"/>
      <c r="E20" s="5">
        <f xml:space="preserve"> E18+E19</f>
        <v>1044.2702778816001</v>
      </c>
      <c r="F20" s="4"/>
      <c r="G20" s="5">
        <f xml:space="preserve"> G18+G19</f>
        <v>2013.2515962789996</v>
      </c>
    </row>
  </sheetData>
  <pageMargins left="0.7" right="0.7" top="0.78740157499999996" bottom="0.78740157499999996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A330B9455BC9740987FB48A396B54CF" ma:contentTypeVersion="12" ma:contentTypeDescription="Ein neues Dokument erstellen." ma:contentTypeScope="" ma:versionID="9eea0063f4c1663935d57c0861c458f2">
  <xsd:schema xmlns:xsd="http://www.w3.org/2001/XMLSchema" xmlns:xs="http://www.w3.org/2001/XMLSchema" xmlns:p="http://schemas.microsoft.com/office/2006/metadata/properties" xmlns:ns2="adfff1f2-dc6e-401b-aa61-43b8dc8933bb" xmlns:ns3="3082e57b-ca46-4112-915b-5ff8ffd398d3" targetNamespace="http://schemas.microsoft.com/office/2006/metadata/properties" ma:root="true" ma:fieldsID="49d16b97fb291ed067d8e0ac2b489607" ns2:_="" ns3:_="">
    <xsd:import namespace="adfff1f2-dc6e-401b-aa61-43b8dc8933bb"/>
    <xsd:import namespace="3082e57b-ca46-4112-915b-5ff8ffd398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ff1f2-dc6e-401b-aa61-43b8dc8933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33d12a92-fab1-4b8e-a9c8-0e2f2d2002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2e57b-ca46-4112-915b-5ff8ffd398d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173e171-90e0-4405-b41a-7244c57f3185}" ma:internalName="TaxCatchAll" ma:showField="CatchAllData" ma:web="3082e57b-ca46-4112-915b-5ff8ffd398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fff1f2-dc6e-401b-aa61-43b8dc8933bb">
      <Terms xmlns="http://schemas.microsoft.com/office/infopath/2007/PartnerControls"/>
    </lcf76f155ced4ddcb4097134ff3c332f>
    <TaxCatchAll xmlns="3082e57b-ca46-4112-915b-5ff8ffd398d3" xsi:nil="true"/>
  </documentManagement>
</p:properties>
</file>

<file path=customXml/itemProps1.xml><?xml version="1.0" encoding="utf-8"?>
<ds:datastoreItem xmlns:ds="http://schemas.openxmlformats.org/officeDocument/2006/customXml" ds:itemID="{7B5FED81-1CB6-4273-948D-39D903BE10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ff1f2-dc6e-401b-aa61-43b8dc8933bb"/>
    <ds:schemaRef ds:uri="3082e57b-ca46-4112-915b-5ff8ffd398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3B03FD-D01A-464B-96AC-637026FA1B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F2673C-E112-4B2B-8A4D-5A596D635BAE}">
  <ds:schemaRefs>
    <ds:schemaRef ds:uri="http://schemas.microsoft.com/office/2006/metadata/properties"/>
    <ds:schemaRef ds:uri="http://schemas.microsoft.com/office/infopath/2007/PartnerControls"/>
    <ds:schemaRef ds:uri="adfff1f2-dc6e-401b-aa61-43b8dc8933bb"/>
    <ds:schemaRef ds:uri="3082e57b-ca46-4112-915b-5ff8ffd398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12_Handelskalkulation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 Puschnerus</dc:creator>
  <cp:keywords/>
  <dc:description/>
  <cp:lastModifiedBy>Steffen Lehmker</cp:lastModifiedBy>
  <cp:revision/>
  <dcterms:created xsi:type="dcterms:W3CDTF">2022-06-17T12:33:54Z</dcterms:created>
  <dcterms:modified xsi:type="dcterms:W3CDTF">2025-03-24T13:47:13Z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0x0101009A330B9455BC9740987FB48A396B54CF</vt:lpwstr>
  </property>
  <property fmtid="{D5CDD505-2E9C-101B-9397-08002B2CF9AE}" pid="3" name="MediaServiceImageTags">
    <vt:lpwstr/>
  </property>
</Properties>
</file>